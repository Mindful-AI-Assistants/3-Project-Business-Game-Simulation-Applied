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ufan\Documentos - Local\Empreendedorismo - PUC\"/>
    </mc:Choice>
  </mc:AlternateContent>
  <xr:revisionPtr revIDLastSave="0" documentId="8_{D4CECB61-9567-4209-A6A6-433DDDF077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ó preç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9" i="1"/>
  <c r="D6" i="1" s="1"/>
  <c r="E6" i="1" s="1"/>
  <c r="D4" i="1" l="1"/>
  <c r="E4" i="1" s="1"/>
  <c r="D7" i="1"/>
  <c r="E7" i="1" s="1"/>
  <c r="D5" i="1"/>
  <c r="E5" i="1" s="1"/>
  <c r="D8" i="1"/>
  <c r="E8" i="1" s="1"/>
  <c r="F7" i="1"/>
  <c r="G7" i="1" s="1"/>
  <c r="H7" i="1" s="1"/>
  <c r="F6" i="1"/>
  <c r="G6" i="1" s="1"/>
  <c r="H6" i="1" s="1"/>
  <c r="F4" i="1"/>
  <c r="G4" i="1" s="1"/>
  <c r="H4" i="1" s="1"/>
  <c r="F5" i="1"/>
  <c r="G5" i="1" s="1"/>
  <c r="H5" i="1" s="1"/>
  <c r="F8" i="1"/>
  <c r="G8" i="1" s="1"/>
  <c r="H8" i="1" s="1"/>
  <c r="E9" i="1" l="1"/>
  <c r="F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Prof. Wagner Tufano</author>
  </authors>
  <commentList>
    <comment ref="D3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Prof. Wagner Tufano:</t>
        </r>
        <r>
          <rPr>
            <sz val="9"/>
            <color indexed="81"/>
            <rFont val="Segoe UI"/>
            <family val="2"/>
          </rPr>
          <t xml:space="preserve">
Como quem cobra menos têm uma tendência de ter uma venda maior, aqui a diferença é entre a média e o preço, para em seguida calcular o percentual desta diferença.</t>
        </r>
      </text>
    </comment>
  </commentList>
</comments>
</file>

<file path=xl/sharedStrings.xml><?xml version="1.0" encoding="utf-8"?>
<sst xmlns="http://schemas.openxmlformats.org/spreadsheetml/2006/main" count="15" uniqueCount="15">
  <si>
    <t>Sazonalidade Total</t>
  </si>
  <si>
    <t>Sazonalidade Média</t>
  </si>
  <si>
    <t>Empresa</t>
  </si>
  <si>
    <t>Preço</t>
  </si>
  <si>
    <t>Dif. % Preço-média</t>
  </si>
  <si>
    <t>Faturamento da empresa</t>
  </si>
  <si>
    <t>Quantidade vendida</t>
  </si>
  <si>
    <t>Dif. Qtde. Vend-Prev.</t>
  </si>
  <si>
    <t>Decisões</t>
  </si>
  <si>
    <t>Cálculos</t>
  </si>
  <si>
    <t>Dif. Média-Preço</t>
  </si>
  <si>
    <t>Média/Total</t>
  </si>
  <si>
    <t>Exemplo cálculo do jogo de empresas com a variável Preço</t>
  </si>
  <si>
    <t>Decisões das equipes</t>
  </si>
  <si>
    <t>Quant. a ser produzida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</si>
</sst>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164" fontId="0" fillId="0" borderId="1" xfId="0" applyNumberFormat="1" applyBorder="1"/>
    <xf numFmtId="9" fontId="0" fillId="0" borderId="1" xfId="2" applyFont="1" applyBorder="1"/>
    <xf numFmtId="9" fontId="0" fillId="0" borderId="1" xfId="0" applyNumberFormat="1" applyBorder="1"/>
    <xf numFmtId="0" fontId="2" fillId="0" borderId="1" xfId="0" applyFont="1" applyBorder="1" applyAlignment="1">
      <alignment horizontal="right" wrapText="1"/>
    </xf>
    <xf numFmtId="44" fontId="0" fillId="0" borderId="1" xfId="3" applyFont="1" applyBorder="1"/>
    <xf numFmtId="0" fontId="3" fillId="0" borderId="2" xfId="0" applyFont="1" applyBorder="1" applyAlignment="1">
      <alignment horizontal="center"/>
    </xf>
    <xf numFmtId="43" fontId="0" fillId="0" borderId="0" xfId="1" applyFont="1"/>
    <xf numFmtId="44" fontId="6" fillId="0" borderId="1" xfId="3" applyFont="1" applyBorder="1"/>
    <xf numFmtId="164" fontId="6" fillId="0" borderId="1" xfId="0" applyNumberFormat="1" applyFont="1" applyBorder="1"/>
    <xf numFmtId="0" fontId="6" fillId="0" borderId="0" xfId="0" applyFont="1"/>
    <xf numFmtId="0" fontId="6" fillId="2" borderId="0" xfId="0" applyFont="1" applyFill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="150" zoomScaleNormal="150" workbookViewId="0">
      <selection sqref="A1:H1"/>
    </sheetView>
  </sheetViews>
  <sheetFormatPr defaultRowHeight="14.4" x14ac:dyDescent="0.3"/>
  <cols>
    <col min="1" max="1" width="9.88671875" customWidth="1"/>
    <col min="2" max="3" width="13.6640625" customWidth="1"/>
    <col min="4" max="4" width="10.44140625" customWidth="1"/>
    <col min="5" max="5" width="11.88671875" customWidth="1"/>
    <col min="6" max="6" width="17" customWidth="1"/>
    <col min="7" max="8" width="13.6640625" customWidth="1"/>
    <col min="9" max="9" width="13.5546875" customWidth="1"/>
  </cols>
  <sheetData>
    <row r="1" spans="1:8" ht="18.600000000000001" thickBot="1" x14ac:dyDescent="0.4">
      <c r="A1" s="14" t="s">
        <v>12</v>
      </c>
      <c r="B1" s="15"/>
      <c r="C1" s="15"/>
      <c r="D1" s="15"/>
      <c r="E1" s="15"/>
      <c r="F1" s="15"/>
      <c r="G1" s="15"/>
      <c r="H1" s="16"/>
    </row>
    <row r="2" spans="1:8" ht="18" x14ac:dyDescent="0.35">
      <c r="A2" s="8"/>
      <c r="B2" s="17" t="s">
        <v>8</v>
      </c>
      <c r="C2" s="17"/>
      <c r="D2" s="17" t="s">
        <v>9</v>
      </c>
      <c r="E2" s="17"/>
      <c r="F2" s="17"/>
      <c r="G2" s="17"/>
      <c r="H2" s="17"/>
    </row>
    <row r="3" spans="1:8" s="1" customFormat="1" ht="28.8" x14ac:dyDescent="0.3">
      <c r="A3" s="6" t="s">
        <v>2</v>
      </c>
      <c r="B3" s="6" t="s">
        <v>3</v>
      </c>
      <c r="C3" s="6" t="s">
        <v>14</v>
      </c>
      <c r="D3" s="6" t="s">
        <v>10</v>
      </c>
      <c r="E3" s="6" t="s">
        <v>4</v>
      </c>
      <c r="F3" s="6" t="s">
        <v>5</v>
      </c>
      <c r="G3" s="6" t="s">
        <v>6</v>
      </c>
      <c r="H3" s="6" t="s">
        <v>7</v>
      </c>
    </row>
    <row r="4" spans="1:8" x14ac:dyDescent="0.3">
      <c r="A4" s="2">
        <v>1</v>
      </c>
      <c r="B4" s="10">
        <v>10</v>
      </c>
      <c r="C4" s="11">
        <v>5000</v>
      </c>
      <c r="D4" s="2">
        <f>$B$9-B4</f>
        <v>0.40000000000000036</v>
      </c>
      <c r="E4" s="4">
        <f>D4/$B$9</f>
        <v>3.8461538461538491E-2</v>
      </c>
      <c r="F4" s="7">
        <f>$B$15*(1+E4)</f>
        <v>51923.076923076929</v>
      </c>
      <c r="G4" s="3">
        <f>F4/B4</f>
        <v>5192.3076923076933</v>
      </c>
      <c r="H4" s="3">
        <f>G4-C4</f>
        <v>192.30769230769329</v>
      </c>
    </row>
    <row r="5" spans="1:8" x14ac:dyDescent="0.3">
      <c r="A5" s="2">
        <v>2</v>
      </c>
      <c r="B5" s="10">
        <v>7</v>
      </c>
      <c r="C5" s="11">
        <v>9000</v>
      </c>
      <c r="D5" s="2">
        <f t="shared" ref="D5:D8" si="0">$B$9-B5</f>
        <v>3.4000000000000004</v>
      </c>
      <c r="E5" s="4">
        <f t="shared" ref="E5:E8" si="1">D5/$B$9</f>
        <v>0.32692307692307693</v>
      </c>
      <c r="F5" s="7">
        <f>$B$15*(1+E5)</f>
        <v>66346.153846153844</v>
      </c>
      <c r="G5" s="3">
        <f t="shared" ref="G5:G8" si="2">F5/B5</f>
        <v>9478.0219780219777</v>
      </c>
      <c r="H5" s="3">
        <f t="shared" ref="H5:H8" si="3">G5-C5</f>
        <v>478.0219780219777</v>
      </c>
    </row>
    <row r="6" spans="1:8" x14ac:dyDescent="0.3">
      <c r="A6" s="2">
        <v>3</v>
      </c>
      <c r="B6" s="10">
        <v>8</v>
      </c>
      <c r="C6" s="11">
        <v>7000</v>
      </c>
      <c r="D6" s="2">
        <f t="shared" si="0"/>
        <v>2.4000000000000004</v>
      </c>
      <c r="E6" s="4">
        <f t="shared" si="1"/>
        <v>0.23076923076923078</v>
      </c>
      <c r="F6" s="7">
        <f>$B$15*(1+E6)</f>
        <v>61538.461538461539</v>
      </c>
      <c r="G6" s="3">
        <f t="shared" si="2"/>
        <v>7692.3076923076924</v>
      </c>
      <c r="H6" s="3">
        <f t="shared" si="3"/>
        <v>692.30769230769238</v>
      </c>
    </row>
    <row r="7" spans="1:8" x14ac:dyDescent="0.3">
      <c r="A7" s="2">
        <v>4</v>
      </c>
      <c r="B7" s="10">
        <v>12</v>
      </c>
      <c r="C7" s="11">
        <v>4000</v>
      </c>
      <c r="D7" s="2">
        <f t="shared" si="0"/>
        <v>-1.5999999999999996</v>
      </c>
      <c r="E7" s="4">
        <f t="shared" si="1"/>
        <v>-0.1538461538461538</v>
      </c>
      <c r="F7" s="7">
        <f>$B$15*(1+E7)</f>
        <v>42307.692307692312</v>
      </c>
      <c r="G7" s="3">
        <f t="shared" si="2"/>
        <v>3525.6410256410259</v>
      </c>
      <c r="H7" s="3">
        <f t="shared" si="3"/>
        <v>-474.35897435897414</v>
      </c>
    </row>
    <row r="8" spans="1:8" x14ac:dyDescent="0.3">
      <c r="A8" s="2">
        <v>5</v>
      </c>
      <c r="B8" s="10">
        <v>15</v>
      </c>
      <c r="C8" s="11">
        <v>2000</v>
      </c>
      <c r="D8" s="2">
        <f t="shared" si="0"/>
        <v>-4.5999999999999996</v>
      </c>
      <c r="E8" s="4">
        <f t="shared" si="1"/>
        <v>-0.44230769230769224</v>
      </c>
      <c r="F8" s="7">
        <f>$B$15*(1+E8)</f>
        <v>27884.615384615387</v>
      </c>
      <c r="G8" s="3">
        <f t="shared" si="2"/>
        <v>1858.9743589743591</v>
      </c>
      <c r="H8" s="3">
        <f t="shared" si="3"/>
        <v>-141.02564102564088</v>
      </c>
    </row>
    <row r="9" spans="1:8" x14ac:dyDescent="0.3">
      <c r="A9" s="2" t="s">
        <v>11</v>
      </c>
      <c r="B9" s="7">
        <f>AVERAGE(B4:B8)</f>
        <v>10.4</v>
      </c>
      <c r="C9" s="2"/>
      <c r="D9" s="2"/>
      <c r="E9" s="5">
        <f>SUM(E4:E8)</f>
        <v>0</v>
      </c>
      <c r="F9" s="7">
        <f>SUM(F4:F8)</f>
        <v>250000</v>
      </c>
      <c r="G9" s="2"/>
      <c r="H9" s="2"/>
    </row>
    <row r="11" spans="1:8" x14ac:dyDescent="0.3">
      <c r="B11" t="s">
        <v>0</v>
      </c>
      <c r="E11" s="13"/>
      <c r="F11" s="12" t="s">
        <v>13</v>
      </c>
    </row>
    <row r="12" spans="1:8" x14ac:dyDescent="0.3">
      <c r="B12" s="9">
        <v>250000</v>
      </c>
    </row>
    <row r="14" spans="1:8" x14ac:dyDescent="0.3">
      <c r="B14" t="s">
        <v>1</v>
      </c>
    </row>
    <row r="15" spans="1:8" x14ac:dyDescent="0.3">
      <c r="B15" s="9">
        <f>B12/A8</f>
        <v>50000</v>
      </c>
    </row>
  </sheetData>
  <mergeCells count="3">
    <mergeCell ref="A1:H1"/>
    <mergeCell ref="B2:C2"/>
    <mergeCell ref="D2:H2"/>
  </mergeCells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A345413B686840936278720304CF9E" ma:contentTypeVersion="3" ma:contentTypeDescription="Crie um novo documento." ma:contentTypeScope="" ma:versionID="d424af420bfca67f23ce85e3a88a508e">
  <xsd:schema xmlns:xsd="http://www.w3.org/2001/XMLSchema" xmlns:xs="http://www.w3.org/2001/XMLSchema" xmlns:p="http://schemas.microsoft.com/office/2006/metadata/properties" xmlns:ns2="55672622-fda6-4ae0-b1d7-2c6417806409" targetNamespace="http://schemas.microsoft.com/office/2006/metadata/properties" ma:root="true" ma:fieldsID="cb4d40641672e7166d9269e84cb1074a" ns2:_="">
    <xsd:import namespace="55672622-fda6-4ae0-b1d7-2c64178064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672622-fda6-4ae0-b1d7-2c64178064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3DDFE6-8DB3-4D89-8E0B-7503E25958CA}"/>
</file>

<file path=customXml/itemProps2.xml><?xml version="1.0" encoding="utf-8"?>
<ds:datastoreItem xmlns:ds="http://schemas.openxmlformats.org/officeDocument/2006/customXml" ds:itemID="{F624EA36-435B-4E75-B004-83EA8A91822C}"/>
</file>

<file path=customXml/itemProps3.xml><?xml version="1.0" encoding="utf-8"?>
<ds:datastoreItem xmlns:ds="http://schemas.openxmlformats.org/officeDocument/2006/customXml" ds:itemID="{87B76EB9-B082-4ECA-BD68-345529E707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Só preço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Wagner Tufano</dc:creator>
  <cp:lastModifiedBy>Wagner Tufano</cp:lastModifiedBy>
  <dcterms:created xsi:type="dcterms:W3CDTF">2021-07-27T22:33:27Z</dcterms:created>
  <dcterms:modified xsi:type="dcterms:W3CDTF">2025-10-27T19:36:27Z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0x01010002A345413B686840936278720304CF9E</vt:lpwstr>
  </property>
</Properties>
</file>