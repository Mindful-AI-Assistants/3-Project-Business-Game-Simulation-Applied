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tufan\OneDrive\Documentos\Empreendedorismo - PUC\"/>
    </mc:Choice>
  </mc:AlternateContent>
  <xr:revisionPtr revIDLastSave="0" documentId="13_ncr:1_{E753CE9F-22DF-4B9A-A3A3-733C3BD78E7B}" xr6:coauthVersionLast="47" xr6:coauthVersionMax="47" xr10:uidLastSave="{00000000-0000-0000-0000-000000000000}"/>
  <bookViews>
    <workbookView xWindow="-108" yWindow="-108" windowWidth="23256" windowHeight="13176" firstSheet="1" activeTab="1" xr2:uid="{00000000-000D-0000-FFFF-FFFF00000000}"/>
  </bookViews>
  <sheets>
    <sheet name="Só preço" sheetId="1" r:id="rId1"/>
    <sheet name="Preço x Propaganda" sheetId="3" r:id="rId2"/>
    <sheet name="Preço x Propaganda x Vendedor" sheetId="4" r:id="rId3"/>
    <sheet name="Dem Resultado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" i="4" l="1"/>
  <c r="C14" i="5" l="1"/>
  <c r="D14" i="5" s="1"/>
  <c r="E14" i="5" s="1"/>
  <c r="F14" i="5" s="1"/>
  <c r="G14" i="5" s="1"/>
  <c r="G6" i="5"/>
  <c r="F6" i="5"/>
  <c r="E6" i="5"/>
  <c r="D6" i="5"/>
  <c r="C6" i="5"/>
  <c r="G7" i="5"/>
  <c r="G8" i="5" s="1"/>
  <c r="F7" i="5"/>
  <c r="F8" i="5" s="1"/>
  <c r="E7" i="5"/>
  <c r="E8" i="5" s="1"/>
  <c r="D7" i="5"/>
  <c r="D8" i="5" s="1"/>
  <c r="C7" i="5"/>
  <c r="C8" i="5" s="1"/>
  <c r="E9" i="4"/>
  <c r="J4" i="4" s="1"/>
  <c r="K4" i="4" s="1"/>
  <c r="B15" i="4"/>
  <c r="D9" i="4"/>
  <c r="H8" i="4" s="1"/>
  <c r="I8" i="4" s="1"/>
  <c r="B9" i="4"/>
  <c r="F6" i="4" s="1"/>
  <c r="G6" i="4" s="1"/>
  <c r="D9" i="3"/>
  <c r="J7" i="4" l="1"/>
  <c r="K7" i="4" s="1"/>
  <c r="J8" i="4"/>
  <c r="K8" i="4" s="1"/>
  <c r="J6" i="4"/>
  <c r="K6" i="4" s="1"/>
  <c r="J5" i="4"/>
  <c r="K5" i="4" s="1"/>
  <c r="K9" i="4" s="1"/>
  <c r="H6" i="4"/>
  <c r="I6" i="4" s="1"/>
  <c r="H7" i="4"/>
  <c r="I7" i="4" s="1"/>
  <c r="H5" i="4"/>
  <c r="I5" i="4" s="1"/>
  <c r="H4" i="4"/>
  <c r="I4" i="4" s="1"/>
  <c r="I9" i="4" s="1"/>
  <c r="L6" i="4"/>
  <c r="E3" i="5" s="1"/>
  <c r="E12" i="5" s="1"/>
  <c r="F4" i="4"/>
  <c r="G4" i="4" s="1"/>
  <c r="F5" i="4"/>
  <c r="G5" i="4" s="1"/>
  <c r="F7" i="4"/>
  <c r="G7" i="4" s="1"/>
  <c r="F8" i="4"/>
  <c r="G8" i="4" s="1"/>
  <c r="L8" i="4" s="1"/>
  <c r="G3" i="5" s="1"/>
  <c r="G9" i="4" l="1"/>
  <c r="M6" i="4"/>
  <c r="N6" i="4" s="1"/>
  <c r="C3" i="5"/>
  <c r="C12" i="5" s="1"/>
  <c r="E13" i="5"/>
  <c r="M4" i="4"/>
  <c r="N4" i="4" s="1"/>
  <c r="C10" i="5" s="1"/>
  <c r="L5" i="4"/>
  <c r="D3" i="5" s="1"/>
  <c r="E9" i="5"/>
  <c r="E10" i="5"/>
  <c r="G12" i="5"/>
  <c r="G13" i="5"/>
  <c r="M8" i="4"/>
  <c r="N8" i="4" s="1"/>
  <c r="L7" i="4"/>
  <c r="F3" i="5" s="1"/>
  <c r="E16" i="5" l="1"/>
  <c r="C13" i="5"/>
  <c r="C9" i="5"/>
  <c r="C16" i="5" s="1"/>
  <c r="C18" i="5" s="1"/>
  <c r="L9" i="4"/>
  <c r="G9" i="5"/>
  <c r="G10" i="5"/>
  <c r="F13" i="5"/>
  <c r="F12" i="5"/>
  <c r="D12" i="5"/>
  <c r="D13" i="5"/>
  <c r="E18" i="5"/>
  <c r="M7" i="4"/>
  <c r="N7" i="4" s="1"/>
  <c r="M5" i="4"/>
  <c r="N5" i="4" s="1"/>
  <c r="G16" i="5" l="1"/>
  <c r="G18" i="5" s="1"/>
  <c r="F9" i="5"/>
  <c r="F10" i="5"/>
  <c r="D9" i="5"/>
  <c r="D16" i="5" s="1"/>
  <c r="D10" i="5"/>
  <c r="F16" i="5" l="1"/>
  <c r="D18" i="5"/>
  <c r="F18" i="5"/>
  <c r="F19" i="5" s="1"/>
  <c r="B15" i="3"/>
  <c r="B9" i="3"/>
  <c r="E7" i="3" s="1"/>
  <c r="F7" i="3" s="1"/>
  <c r="D19" i="5" l="1"/>
  <c r="E19" i="5"/>
  <c r="C19" i="5"/>
  <c r="G19" i="5"/>
  <c r="I5" i="3"/>
  <c r="I7" i="3"/>
  <c r="I8" i="3"/>
  <c r="E6" i="3"/>
  <c r="F6" i="3" s="1"/>
  <c r="I6" i="3" s="1"/>
  <c r="E5" i="3"/>
  <c r="F5" i="3" s="1"/>
  <c r="E8" i="3"/>
  <c r="F8" i="3" s="1"/>
  <c r="G8" i="3"/>
  <c r="H8" i="3" s="1"/>
  <c r="G5" i="3"/>
  <c r="H5" i="3" s="1"/>
  <c r="G6" i="3"/>
  <c r="H6" i="3" s="1"/>
  <c r="G7" i="3"/>
  <c r="H7" i="3" s="1"/>
  <c r="G4" i="3"/>
  <c r="H4" i="3" s="1"/>
  <c r="E4" i="3"/>
  <c r="F4" i="3" s="1"/>
  <c r="I4" i="3" s="1"/>
  <c r="B15" i="1"/>
  <c r="D8" i="1"/>
  <c r="E8" i="1" s="1"/>
  <c r="D4" i="1"/>
  <c r="E4" i="1" s="1"/>
  <c r="B9" i="1"/>
  <c r="D5" i="1" s="1"/>
  <c r="E5" i="1" s="1"/>
  <c r="D7" i="1" l="1"/>
  <c r="E7" i="1" s="1"/>
  <c r="F7" i="1"/>
  <c r="G7" i="1" s="1"/>
  <c r="H7" i="1" s="1"/>
  <c r="D6" i="1"/>
  <c r="E6" i="1" s="1"/>
  <c r="E9" i="1" s="1"/>
  <c r="J7" i="3"/>
  <c r="K7" i="3" s="1"/>
  <c r="J8" i="3"/>
  <c r="K8" i="3" s="1"/>
  <c r="J5" i="3"/>
  <c r="K5" i="3" s="1"/>
  <c r="J6" i="3"/>
  <c r="K6" i="3" s="1"/>
  <c r="H9" i="3"/>
  <c r="F9" i="3"/>
  <c r="J4" i="3"/>
  <c r="K4" i="3" s="1"/>
  <c r="F4" i="1"/>
  <c r="G4" i="1" s="1"/>
  <c r="H4" i="1" s="1"/>
  <c r="F5" i="1"/>
  <c r="G5" i="1" s="1"/>
  <c r="H5" i="1" s="1"/>
  <c r="F8" i="1"/>
  <c r="G8" i="1" s="1"/>
  <c r="H8" i="1" s="1"/>
  <c r="F6" i="1" l="1"/>
  <c r="G6" i="1" s="1"/>
  <c r="H6" i="1" s="1"/>
  <c r="I9" i="3"/>
  <c r="F9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Prof. Wagner Tufano</author>
  </authors>
  <commentList>
    <comment ref="D3" authorId="0" shapeId="0" xr:uid="{00000000-0006-0000-0000-000001000000}">
      <text>
        <r>
          <rPr>
            <b/>
            <sz val="9"/>
            <color indexed="81"/>
            <rFont val="Segoe UI"/>
            <family val="2"/>
          </rPr>
          <t>Prof. Wagner Tufano:</t>
        </r>
        <r>
          <rPr>
            <sz val="9"/>
            <color indexed="81"/>
            <rFont val="Segoe UI"/>
            <family val="2"/>
          </rPr>
          <t xml:space="preserve">
Como quem cobra menos têm uma tendência de ter uma venda maior, aqui a diferença é entre a média e o preço, para em seguida calcular o percentual desta diferença.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Prof. Wagner Tufano</author>
  </authors>
  <commentList>
    <comment ref="E3" authorId="0" shapeId="0" xr:uid="{00000000-0006-0000-0100-000001000000}">
      <text>
        <r>
          <rPr>
            <b/>
            <sz val="9"/>
            <color indexed="81"/>
            <rFont val="Segoe UI"/>
            <family val="2"/>
          </rPr>
          <t>Prof. Wagner Tufano:</t>
        </r>
        <r>
          <rPr>
            <sz val="9"/>
            <color indexed="81"/>
            <rFont val="Segoe UI"/>
            <family val="2"/>
          </rPr>
          <t xml:space="preserve">
Como quem cobra menos têm uma tendência de ter uma venda maior, aqui a diferença é entre a média e o preço, para em seguida calcular o percentual desta diferença.</t>
        </r>
      </text>
    </comment>
    <comment ref="G3" authorId="0" shapeId="0" xr:uid="{00000000-0006-0000-0100-000002000000}">
      <text>
        <r>
          <rPr>
            <b/>
            <sz val="9"/>
            <color indexed="81"/>
            <rFont val="Segoe UI"/>
            <family val="2"/>
          </rPr>
          <t>Prof. Wagner Tufano:</t>
        </r>
        <r>
          <rPr>
            <sz val="9"/>
            <color indexed="81"/>
            <rFont val="Segoe UI"/>
            <family val="2"/>
          </rPr>
          <t xml:space="preserve">
Como propagandas maiores têm uma tendência de ter uma venda maior, aqui a diferença é entre a Propaganda e a média, para em seguida calcularmos esta diferença em %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Prof. Wagner Tufano</author>
  </authors>
  <commentList>
    <comment ref="F3" authorId="0" shapeId="0" xr:uid="{00000000-0006-0000-0200-000001000000}">
      <text>
        <r>
          <rPr>
            <b/>
            <sz val="9"/>
            <color indexed="81"/>
            <rFont val="Segoe UI"/>
            <family val="2"/>
          </rPr>
          <t>Prof. Wagner Tufano:</t>
        </r>
        <r>
          <rPr>
            <sz val="9"/>
            <color indexed="81"/>
            <rFont val="Segoe UI"/>
            <family val="2"/>
          </rPr>
          <t xml:space="preserve">
Como quem cobra menos têm uma tendência de ter uma venda maior, aqui a diferença é entre a média e o preço, para em seguida calcular o percentual desta diferença.</t>
        </r>
      </text>
    </comment>
    <comment ref="H3" authorId="0" shapeId="0" xr:uid="{00000000-0006-0000-0200-000002000000}">
      <text>
        <r>
          <rPr>
            <b/>
            <sz val="9"/>
            <color indexed="81"/>
            <rFont val="Segoe UI"/>
            <family val="2"/>
          </rPr>
          <t>Prof. Wagner Tufano:</t>
        </r>
        <r>
          <rPr>
            <sz val="9"/>
            <color indexed="81"/>
            <rFont val="Segoe UI"/>
            <family val="2"/>
          </rPr>
          <t xml:space="preserve">
Como propagandas maiores têm uma tendência de ter uma venda maior, aqui a diferença é entre a Propaganda e a média, para em seguida calcularmos esta diferença em %</t>
        </r>
      </text>
    </comment>
    <comment ref="J3" authorId="0" shapeId="0" xr:uid="{00000000-0006-0000-0200-000003000000}">
      <text>
        <r>
          <rPr>
            <b/>
            <sz val="9"/>
            <color indexed="81"/>
            <rFont val="Segoe UI"/>
            <family val="2"/>
          </rPr>
          <t>Prof. Wagner Tufano:</t>
        </r>
        <r>
          <rPr>
            <sz val="9"/>
            <color indexed="81"/>
            <rFont val="Segoe UI"/>
            <family val="2"/>
          </rPr>
          <t xml:space="preserve">
Análoga a propaganda, como um maior número de vendedores têm uma tendência de ter uma venda maior, aqui a diferença é entre a o número de vendedores e a média, para em seguida calcularmos esta diferença em %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Prof. Wagner Tufano</author>
  </authors>
  <commentList>
    <comment ref="A8" authorId="0" shapeId="0" xr:uid="{00000000-0006-0000-0300-000001000000}">
      <text>
        <r>
          <rPr>
            <b/>
            <sz val="9"/>
            <color indexed="81"/>
            <rFont val="Segoe UI"/>
            <family val="2"/>
          </rPr>
          <t>Prof. Wagner Tufano:</t>
        </r>
        <r>
          <rPr>
            <sz val="9"/>
            <color indexed="81"/>
            <rFont val="Segoe UI"/>
            <family val="2"/>
          </rPr>
          <t xml:space="preserve">
Valor do salário * o número de vendedores.</t>
        </r>
      </text>
    </comment>
    <comment ref="A9" authorId="0" shapeId="0" xr:uid="{00000000-0006-0000-0300-000002000000}">
      <text>
        <r>
          <rPr>
            <b/>
            <sz val="9"/>
            <color indexed="81"/>
            <rFont val="Segoe UI"/>
            <family val="2"/>
          </rPr>
          <t>Prof. Wagner Tufano:</t>
        </r>
        <r>
          <rPr>
            <sz val="9"/>
            <color indexed="81"/>
            <rFont val="Segoe UI"/>
            <family val="2"/>
          </rPr>
          <t xml:space="preserve">
Se a venda foi maior do que o produzido, Diferença* Vr. Unitário da hora extra.</t>
        </r>
      </text>
    </comment>
    <comment ref="A10" authorId="0" shapeId="0" xr:uid="{00000000-0006-0000-0300-000003000000}">
      <text>
        <r>
          <rPr>
            <b/>
            <sz val="9"/>
            <color indexed="81"/>
            <rFont val="Segoe UI"/>
            <family val="2"/>
          </rPr>
          <t xml:space="preserve">Prof. Wagner Tufano:
</t>
        </r>
        <r>
          <rPr>
            <sz val="9"/>
            <color indexed="81"/>
            <rFont val="Segoe UI"/>
            <family val="2"/>
          </rPr>
          <t>Se a venda foi menor do que o produzido, Diferença* Vr. Unitário da estocagem.</t>
        </r>
      </text>
    </comment>
    <comment ref="A12" authorId="0" shapeId="0" xr:uid="{00000000-0006-0000-0300-000004000000}">
      <text>
        <r>
          <rPr>
            <b/>
            <sz val="9"/>
            <color indexed="81"/>
            <rFont val="Segoe UI"/>
            <family val="2"/>
          </rPr>
          <t>Prof. Wagner Tufano:</t>
        </r>
        <r>
          <rPr>
            <sz val="9"/>
            <color indexed="81"/>
            <rFont val="Segoe UI"/>
            <family val="2"/>
          </rPr>
          <t xml:space="preserve">
Sobre a Receita de vendas</t>
        </r>
      </text>
    </comment>
    <comment ref="A13" authorId="0" shapeId="0" xr:uid="{00000000-0006-0000-0300-000005000000}">
      <text>
        <r>
          <rPr>
            <b/>
            <sz val="9"/>
            <color indexed="81"/>
            <rFont val="Segoe UI"/>
            <family val="2"/>
          </rPr>
          <t>Prof. Wagner Tufano:</t>
        </r>
        <r>
          <rPr>
            <sz val="9"/>
            <color indexed="81"/>
            <rFont val="Segoe UI"/>
            <family val="2"/>
          </rPr>
          <t xml:space="preserve">
Sobre a Receita de vendas</t>
        </r>
      </text>
    </comment>
    <comment ref="A14" authorId="0" shapeId="0" xr:uid="{00000000-0006-0000-0300-000006000000}">
      <text>
        <r>
          <rPr>
            <b/>
            <sz val="9"/>
            <color indexed="81"/>
            <rFont val="Segoe UI"/>
            <family val="2"/>
          </rPr>
          <t>Prof. Wagner Tufano:</t>
        </r>
        <r>
          <rPr>
            <sz val="9"/>
            <color indexed="81"/>
            <rFont val="Segoe UI"/>
            <family val="2"/>
          </rPr>
          <t xml:space="preserve">
Valor fixo</t>
        </r>
      </text>
    </comment>
  </commentList>
</comments>
</file>

<file path=xl/sharedStrings.xml><?xml version="1.0" encoding="utf-8"?>
<sst xmlns="http://schemas.openxmlformats.org/spreadsheetml/2006/main" count="81" uniqueCount="50">
  <si>
    <t>Sazonalidade Total</t>
  </si>
  <si>
    <t>Sazonalidade Média</t>
  </si>
  <si>
    <t>Empresa</t>
  </si>
  <si>
    <t>Preço</t>
  </si>
  <si>
    <t>Dif. % Preço-média</t>
  </si>
  <si>
    <t>Faturamento da empresa</t>
  </si>
  <si>
    <t>Quantidade vendida</t>
  </si>
  <si>
    <t>Dif. Qtde. Vend-Prev.</t>
  </si>
  <si>
    <t>Decisões</t>
  </si>
  <si>
    <t>Cálculos</t>
  </si>
  <si>
    <t>Propaganda</t>
  </si>
  <si>
    <t>Dif. Média-Preço</t>
  </si>
  <si>
    <t>Dif. % Prop-média</t>
  </si>
  <si>
    <t>Média/Total</t>
  </si>
  <si>
    <t>Dif. Propa-Média</t>
  </si>
  <si>
    <t>Vendedores</t>
  </si>
  <si>
    <t>Dif. Vend-media</t>
  </si>
  <si>
    <t>Dif. % Vend-média</t>
  </si>
  <si>
    <t>Demonstrativo de Resultados</t>
  </si>
  <si>
    <t>Empresa 1</t>
  </si>
  <si>
    <t>Empresa 2</t>
  </si>
  <si>
    <t>Empresa 3</t>
  </si>
  <si>
    <t>Empresa 4</t>
  </si>
  <si>
    <t>Empresa 5</t>
  </si>
  <si>
    <t>Despesas</t>
  </si>
  <si>
    <t>Taxa/regras</t>
  </si>
  <si>
    <t>Salário Vendedores</t>
  </si>
  <si>
    <t>Total despesas</t>
  </si>
  <si>
    <t>Resultado</t>
  </si>
  <si>
    <t>Hora Extra</t>
  </si>
  <si>
    <t>Estocagem</t>
  </si>
  <si>
    <t>Dif. Qtde. Prev-Vend.</t>
  </si>
  <si>
    <t>Salários</t>
  </si>
  <si>
    <t>Aluguel</t>
  </si>
  <si>
    <t>Classificação</t>
  </si>
  <si>
    <t>CMV (custo da merc. Vendida)</t>
  </si>
  <si>
    <t>Exemplo cálculo do jogo de empresas com a variáveis Preço e Propaganda</t>
  </si>
  <si>
    <t>Exemplo cálculo do jogo de empresas com a variável Preço</t>
  </si>
  <si>
    <t>Exemplo cálculo do jogo de empresas com a variáveis Preço, Propaganda e Vendedores</t>
  </si>
  <si>
    <t>Quant. vendida</t>
  </si>
  <si>
    <t>Dif. % Média-Preço</t>
  </si>
  <si>
    <t>Decisões das equipes</t>
  </si>
  <si>
    <t>Receita de vendas (faturamento)</t>
  </si>
  <si>
    <t>Quant. a ser produzida</t>
  </si>
  <si>
    <t xml:space="preserve">Regras </t>
  </si>
  <si>
    <t>estipuladas</t>
  </si>
  <si>
    <t>Pelos</t>
  </si>
  <si>
    <t>organizadores</t>
  </si>
  <si>
    <t xml:space="preserve">Decisões </t>
  </si>
  <si>
    <t>das equipes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</si>
</sst>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_-;\-* #,##0_-;_-* &quot;-&quot;??_-;_-@_-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sz val="11"/>
      <color theme="4"/>
      <name val="Calibri"/>
      <family val="2"/>
      <scheme val="minor"/>
    </font>
    <font>
      <b/>
      <sz val="11"/>
      <color theme="4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44">
    <xf numFmtId="0" fontId="0" fillId="0" borderId="0" xfId="0"/>
    <xf numFmtId="0" fontId="0" fillId="0" borderId="0" xfId="0" applyAlignment="1">
      <alignment wrapText="1"/>
    </xf>
    <xf numFmtId="0" fontId="0" fillId="0" borderId="1" xfId="0" applyBorder="1"/>
    <xf numFmtId="164" fontId="0" fillId="0" borderId="1" xfId="0" applyNumberFormat="1" applyBorder="1"/>
    <xf numFmtId="9" fontId="0" fillId="0" borderId="1" xfId="2" applyFont="1" applyBorder="1"/>
    <xf numFmtId="43" fontId="0" fillId="0" borderId="1" xfId="1" applyFont="1" applyBorder="1"/>
    <xf numFmtId="9" fontId="0" fillId="0" borderId="1" xfId="0" applyNumberFormat="1" applyBorder="1"/>
    <xf numFmtId="0" fontId="2" fillId="0" borderId="1" xfId="0" applyFont="1" applyBorder="1" applyAlignment="1">
      <alignment horizontal="right" wrapText="1"/>
    </xf>
    <xf numFmtId="164" fontId="0" fillId="0" borderId="1" xfId="2" applyNumberFormat="1" applyFont="1" applyBorder="1"/>
    <xf numFmtId="44" fontId="0" fillId="0" borderId="1" xfId="3" applyFont="1" applyBorder="1"/>
    <xf numFmtId="0" fontId="0" fillId="0" borderId="2" xfId="0" applyBorder="1"/>
    <xf numFmtId="0" fontId="0" fillId="0" borderId="4" xfId="0" applyBorder="1"/>
    <xf numFmtId="0" fontId="0" fillId="0" borderId="5" xfId="0" applyBorder="1"/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6" xfId="0" applyFont="1" applyBorder="1"/>
    <xf numFmtId="0" fontId="2" fillId="0" borderId="6" xfId="0" applyFont="1" applyBorder="1" applyAlignment="1">
      <alignment horizontal="right"/>
    </xf>
    <xf numFmtId="44" fontId="0" fillId="0" borderId="2" xfId="3" applyFont="1" applyBorder="1"/>
    <xf numFmtId="0" fontId="2" fillId="2" borderId="3" xfId="0" applyFont="1" applyFill="1" applyBorder="1"/>
    <xf numFmtId="0" fontId="0" fillId="2" borderId="4" xfId="0" applyFill="1" applyBorder="1"/>
    <xf numFmtId="44" fontId="0" fillId="2" borderId="4" xfId="3" applyFont="1" applyFill="1" applyBorder="1"/>
    <xf numFmtId="44" fontId="0" fillId="2" borderId="5" xfId="3" applyFont="1" applyFill="1" applyBorder="1"/>
    <xf numFmtId="0" fontId="3" fillId="0" borderId="6" xfId="0" applyFont="1" applyBorder="1" applyAlignment="1">
      <alignment horizontal="center"/>
    </xf>
    <xf numFmtId="43" fontId="0" fillId="0" borderId="0" xfId="1" applyFont="1"/>
    <xf numFmtId="44" fontId="6" fillId="0" borderId="1" xfId="3" applyFont="1" applyBorder="1"/>
    <xf numFmtId="164" fontId="6" fillId="0" borderId="1" xfId="0" applyNumberFormat="1" applyFont="1" applyBorder="1"/>
    <xf numFmtId="0" fontId="6" fillId="0" borderId="0" xfId="0" applyFont="1"/>
    <xf numFmtId="0" fontId="6" fillId="3" borderId="0" xfId="0" applyFont="1" applyFill="1"/>
    <xf numFmtId="43" fontId="7" fillId="0" borderId="1" xfId="1" applyFont="1" applyBorder="1"/>
    <xf numFmtId="164" fontId="7" fillId="0" borderId="1" xfId="1" applyNumberFormat="1" applyFont="1" applyBorder="1"/>
    <xf numFmtId="0" fontId="8" fillId="0" borderId="0" xfId="0" applyFont="1"/>
    <xf numFmtId="0" fontId="7" fillId="0" borderId="0" xfId="0" applyFont="1"/>
    <xf numFmtId="0" fontId="0" fillId="4" borderId="0" xfId="0" applyFill="1"/>
    <xf numFmtId="44" fontId="8" fillId="0" borderId="1" xfId="3" applyFont="1" applyBorder="1"/>
    <xf numFmtId="0" fontId="8" fillId="0" borderId="1" xfId="0" applyFont="1" applyBorder="1"/>
    <xf numFmtId="9" fontId="8" fillId="0" borderId="1" xfId="0" applyNumberFormat="1" applyFont="1" applyBorder="1"/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11" xfId="0" applyFont="1" applyBorder="1" applyAlignment="1">
      <alignment horizontal="center"/>
    </xf>
  </cellXfs>
  <cellStyles count="4">
    <cellStyle name="Moeda" xfId="3" builtinId="4"/>
    <cellStyle name="Normal" xfId="0" builtinId="0"/>
    <cellStyle name="Porcentagem" xfId="2" builtinId="5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"/>
  <sheetViews>
    <sheetView topLeftCell="A3" zoomScale="150" zoomScaleNormal="150" workbookViewId="0">
      <selection activeCell="B16" sqref="B16"/>
    </sheetView>
  </sheetViews>
  <sheetFormatPr defaultRowHeight="14.4" x14ac:dyDescent="0.3"/>
  <cols>
    <col min="1" max="1" width="9.77734375" customWidth="1"/>
    <col min="2" max="3" width="13.77734375" customWidth="1"/>
    <col min="4" max="4" width="10.44140625" customWidth="1"/>
    <col min="5" max="5" width="11.77734375" customWidth="1"/>
    <col min="6" max="6" width="17" customWidth="1"/>
    <col min="7" max="8" width="13.77734375" customWidth="1"/>
    <col min="9" max="9" width="13.5546875" customWidth="1"/>
  </cols>
  <sheetData>
    <row r="1" spans="1:8" ht="18.600000000000001" thickBot="1" x14ac:dyDescent="0.4">
      <c r="A1" s="37" t="s">
        <v>37</v>
      </c>
      <c r="B1" s="38"/>
      <c r="C1" s="38"/>
      <c r="D1" s="38"/>
      <c r="E1" s="38"/>
      <c r="F1" s="38"/>
      <c r="G1" s="38"/>
      <c r="H1" s="39"/>
    </row>
    <row r="2" spans="1:8" ht="18" x14ac:dyDescent="0.35">
      <c r="A2" s="23"/>
      <c r="B2" s="40" t="s">
        <v>8</v>
      </c>
      <c r="C2" s="40"/>
      <c r="D2" s="40" t="s">
        <v>9</v>
      </c>
      <c r="E2" s="40"/>
      <c r="F2" s="40"/>
      <c r="G2" s="40"/>
      <c r="H2" s="40"/>
    </row>
    <row r="3" spans="1:8" s="1" customFormat="1" ht="28.8" x14ac:dyDescent="0.3">
      <c r="A3" s="7" t="s">
        <v>2</v>
      </c>
      <c r="B3" s="7" t="s">
        <v>3</v>
      </c>
      <c r="C3" s="7" t="s">
        <v>43</v>
      </c>
      <c r="D3" s="7" t="s">
        <v>11</v>
      </c>
      <c r="E3" s="7" t="s">
        <v>4</v>
      </c>
      <c r="F3" s="7" t="s">
        <v>5</v>
      </c>
      <c r="G3" s="7" t="s">
        <v>6</v>
      </c>
      <c r="H3" s="7" t="s">
        <v>7</v>
      </c>
    </row>
    <row r="4" spans="1:8" x14ac:dyDescent="0.3">
      <c r="A4" s="2">
        <v>1</v>
      </c>
      <c r="B4" s="25">
        <v>10</v>
      </c>
      <c r="C4" s="26">
        <v>5000</v>
      </c>
      <c r="D4" s="2">
        <f>$B$9-B4</f>
        <v>0.40000000000000036</v>
      </c>
      <c r="E4" s="4">
        <f>D4/$B$9</f>
        <v>3.8461538461538491E-2</v>
      </c>
      <c r="F4" s="9">
        <f>$B$15*(1+E4)</f>
        <v>51923.076923076929</v>
      </c>
      <c r="G4" s="3">
        <f>F4/B4</f>
        <v>5192.3076923076933</v>
      </c>
      <c r="H4" s="3">
        <f>G4-C4</f>
        <v>192.30769230769329</v>
      </c>
    </row>
    <row r="5" spans="1:8" x14ac:dyDescent="0.3">
      <c r="A5" s="2">
        <v>2</v>
      </c>
      <c r="B5" s="25">
        <v>7</v>
      </c>
      <c r="C5" s="26">
        <v>9000</v>
      </c>
      <c r="D5" s="2">
        <f t="shared" ref="D5:D8" si="0">$B$9-B5</f>
        <v>3.4000000000000004</v>
      </c>
      <c r="E5" s="4">
        <f t="shared" ref="E5:E8" si="1">D5/$B$9</f>
        <v>0.32692307692307693</v>
      </c>
      <c r="F5" s="9">
        <f>$B$15*(1+E5)</f>
        <v>66346.153846153844</v>
      </c>
      <c r="G5" s="3">
        <f t="shared" ref="G5:G8" si="2">F5/B5</f>
        <v>9478.0219780219777</v>
      </c>
      <c r="H5" s="3">
        <f t="shared" ref="H5:H8" si="3">G5-C5</f>
        <v>478.0219780219777</v>
      </c>
    </row>
    <row r="6" spans="1:8" x14ac:dyDescent="0.3">
      <c r="A6" s="2">
        <v>3</v>
      </c>
      <c r="B6" s="25">
        <v>8</v>
      </c>
      <c r="C6" s="26">
        <v>7000</v>
      </c>
      <c r="D6" s="2">
        <f t="shared" si="0"/>
        <v>2.4000000000000004</v>
      </c>
      <c r="E6" s="4">
        <f t="shared" si="1"/>
        <v>0.23076923076923078</v>
      </c>
      <c r="F6" s="9">
        <f>$B$15*(1+E6)</f>
        <v>61538.461538461539</v>
      </c>
      <c r="G6" s="3">
        <f t="shared" si="2"/>
        <v>7692.3076923076924</v>
      </c>
      <c r="H6" s="3">
        <f t="shared" si="3"/>
        <v>692.30769230769238</v>
      </c>
    </row>
    <row r="7" spans="1:8" x14ac:dyDescent="0.3">
      <c r="A7" s="2">
        <v>4</v>
      </c>
      <c r="B7" s="25">
        <v>12</v>
      </c>
      <c r="C7" s="26">
        <v>4000</v>
      </c>
      <c r="D7" s="2">
        <f t="shared" si="0"/>
        <v>-1.5999999999999996</v>
      </c>
      <c r="E7" s="4">
        <f t="shared" si="1"/>
        <v>-0.1538461538461538</v>
      </c>
      <c r="F7" s="9">
        <f>$B$15*(1+E7)</f>
        <v>42307.692307692312</v>
      </c>
      <c r="G7" s="3">
        <f t="shared" si="2"/>
        <v>3525.6410256410259</v>
      </c>
      <c r="H7" s="3">
        <f t="shared" si="3"/>
        <v>-474.35897435897414</v>
      </c>
    </row>
    <row r="8" spans="1:8" x14ac:dyDescent="0.3">
      <c r="A8" s="2">
        <v>5</v>
      </c>
      <c r="B8" s="25">
        <v>15</v>
      </c>
      <c r="C8" s="26">
        <v>2000</v>
      </c>
      <c r="D8" s="2">
        <f t="shared" si="0"/>
        <v>-4.5999999999999996</v>
      </c>
      <c r="E8" s="4">
        <f t="shared" si="1"/>
        <v>-0.44230769230769224</v>
      </c>
      <c r="F8" s="9">
        <f>$B$15*(1+E8)</f>
        <v>27884.615384615387</v>
      </c>
      <c r="G8" s="3">
        <f t="shared" si="2"/>
        <v>1858.9743589743591</v>
      </c>
      <c r="H8" s="3">
        <f t="shared" si="3"/>
        <v>-141.02564102564088</v>
      </c>
    </row>
    <row r="9" spans="1:8" x14ac:dyDescent="0.3">
      <c r="A9" s="2" t="s">
        <v>13</v>
      </c>
      <c r="B9" s="9">
        <f>AVERAGE(B4:B8)</f>
        <v>10.4</v>
      </c>
      <c r="C9" s="2"/>
      <c r="D9" s="2"/>
      <c r="E9" s="6">
        <f>SUM(E4:E8)</f>
        <v>0</v>
      </c>
      <c r="F9" s="9">
        <f>SUM(F4:F8)</f>
        <v>250000</v>
      </c>
      <c r="G9" s="2"/>
      <c r="H9" s="2"/>
    </row>
    <row r="11" spans="1:8" x14ac:dyDescent="0.3">
      <c r="B11" t="s">
        <v>0</v>
      </c>
      <c r="E11" s="28"/>
      <c r="F11" s="27" t="s">
        <v>41</v>
      </c>
    </row>
    <row r="12" spans="1:8" x14ac:dyDescent="0.3">
      <c r="B12" s="24">
        <v>250000</v>
      </c>
    </row>
    <row r="14" spans="1:8" x14ac:dyDescent="0.3">
      <c r="B14" t="s">
        <v>1</v>
      </c>
    </row>
    <row r="15" spans="1:8" x14ac:dyDescent="0.3">
      <c r="B15" s="24">
        <f>B12/A8</f>
        <v>50000</v>
      </c>
    </row>
  </sheetData>
  <mergeCells count="3">
    <mergeCell ref="A1:H1"/>
    <mergeCell ref="B2:C2"/>
    <mergeCell ref="D2:H2"/>
  </mergeCells>
  <pageMargins left="0.511811024" right="0.511811024" top="0.78740157499999996" bottom="0.78740157499999996" header="0.31496062000000002" footer="0.31496062000000002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5"/>
  <sheetViews>
    <sheetView tabSelected="1" zoomScale="150" zoomScaleNormal="150" workbookViewId="0">
      <selection activeCell="I4" sqref="I4"/>
    </sheetView>
  </sheetViews>
  <sheetFormatPr defaultRowHeight="14.4" x14ac:dyDescent="0.3"/>
  <cols>
    <col min="1" max="1" width="9.77734375" customWidth="1"/>
    <col min="2" max="2" width="11.5546875" customWidth="1"/>
    <col min="3" max="3" width="11.44140625" bestFit="1" customWidth="1"/>
    <col min="4" max="4" width="11.44140625" customWidth="1"/>
    <col min="5" max="5" width="10.44140625" customWidth="1"/>
    <col min="6" max="6" width="11.77734375" customWidth="1"/>
    <col min="7" max="7" width="10.44140625" bestFit="1" customWidth="1"/>
    <col min="8" max="8" width="11.44140625" bestFit="1" customWidth="1"/>
    <col min="9" max="9" width="12.44140625" bestFit="1" customWidth="1"/>
    <col min="10" max="10" width="11.77734375" customWidth="1"/>
    <col min="11" max="11" width="11" customWidth="1"/>
    <col min="12" max="12" width="13.5546875" customWidth="1"/>
  </cols>
  <sheetData>
    <row r="1" spans="1:11" ht="18.600000000000001" thickBot="1" x14ac:dyDescent="0.4">
      <c r="A1" s="37" t="s">
        <v>36</v>
      </c>
      <c r="B1" s="38"/>
      <c r="C1" s="38"/>
      <c r="D1" s="38"/>
      <c r="E1" s="38"/>
      <c r="F1" s="38"/>
      <c r="G1" s="38"/>
      <c r="H1" s="38"/>
      <c r="I1" s="38"/>
      <c r="J1" s="38"/>
      <c r="K1" s="39"/>
    </row>
    <row r="2" spans="1:11" ht="18" x14ac:dyDescent="0.35">
      <c r="B2" s="41" t="s">
        <v>8</v>
      </c>
      <c r="C2" s="42"/>
      <c r="D2" s="43"/>
      <c r="E2" s="40" t="s">
        <v>9</v>
      </c>
      <c r="F2" s="40"/>
      <c r="G2" s="40"/>
      <c r="H2" s="40"/>
      <c r="I2" s="40"/>
      <c r="J2" s="40"/>
      <c r="K2" s="40"/>
    </row>
    <row r="3" spans="1:11" s="1" customFormat="1" ht="30" customHeight="1" x14ac:dyDescent="0.3">
      <c r="A3" s="7" t="s">
        <v>2</v>
      </c>
      <c r="B3" s="7" t="s">
        <v>3</v>
      </c>
      <c r="C3" s="7" t="s">
        <v>43</v>
      </c>
      <c r="D3" s="7" t="s">
        <v>10</v>
      </c>
      <c r="E3" s="7" t="s">
        <v>11</v>
      </c>
      <c r="F3" s="7" t="s">
        <v>40</v>
      </c>
      <c r="G3" s="7" t="s">
        <v>14</v>
      </c>
      <c r="H3" s="7" t="s">
        <v>12</v>
      </c>
      <c r="I3" s="7" t="s">
        <v>5</v>
      </c>
      <c r="J3" s="7" t="s">
        <v>6</v>
      </c>
      <c r="K3" s="7" t="s">
        <v>7</v>
      </c>
    </row>
    <row r="4" spans="1:11" x14ac:dyDescent="0.3">
      <c r="A4" s="2">
        <v>1</v>
      </c>
      <c r="B4" s="25">
        <v>10</v>
      </c>
      <c r="C4" s="26">
        <v>5000</v>
      </c>
      <c r="D4" s="26">
        <v>9000</v>
      </c>
      <c r="E4" s="2">
        <f>$B$9-B4</f>
        <v>0.40000000000000036</v>
      </c>
      <c r="F4" s="4">
        <f>E4/$B$9</f>
        <v>3.8461538461538491E-2</v>
      </c>
      <c r="G4" s="8">
        <f>D4-D$9</f>
        <v>-3800</v>
      </c>
      <c r="H4" s="4">
        <f>G4/D$9</f>
        <v>-0.296875</v>
      </c>
      <c r="I4" s="5">
        <f>B$15*(1+F4+H4)</f>
        <v>37079.326923076929</v>
      </c>
      <c r="J4" s="3">
        <f>I4/B4</f>
        <v>3707.9326923076928</v>
      </c>
      <c r="K4" s="3">
        <f>J4-C4</f>
        <v>-1292.0673076923072</v>
      </c>
    </row>
    <row r="5" spans="1:11" x14ac:dyDescent="0.3">
      <c r="A5" s="2">
        <v>2</v>
      </c>
      <c r="B5" s="25">
        <v>7</v>
      </c>
      <c r="C5" s="26">
        <v>9000</v>
      </c>
      <c r="D5" s="26">
        <v>12000</v>
      </c>
      <c r="E5" s="2">
        <f>$B$9-B5</f>
        <v>3.4000000000000004</v>
      </c>
      <c r="F5" s="4">
        <f t="shared" ref="F5:F8" si="0">E5/$B$9</f>
        <v>0.32692307692307693</v>
      </c>
      <c r="G5" s="8">
        <f t="shared" ref="G5:G8" si="1">D5-D$9</f>
        <v>-800</v>
      </c>
      <c r="H5" s="4">
        <f t="shared" ref="H5:H8" si="2">G5/D$9</f>
        <v>-6.25E-2</v>
      </c>
      <c r="I5" s="5">
        <f>B$15*(1+F5+H5)</f>
        <v>63221.153846153844</v>
      </c>
      <c r="J5" s="3">
        <f>I5/B5</f>
        <v>9031.5934065934071</v>
      </c>
      <c r="K5" s="3">
        <f t="shared" ref="K5:K8" si="3">J5-C5</f>
        <v>31.593406593407053</v>
      </c>
    </row>
    <row r="6" spans="1:11" x14ac:dyDescent="0.3">
      <c r="A6" s="2">
        <v>3</v>
      </c>
      <c r="B6" s="25">
        <v>8</v>
      </c>
      <c r="C6" s="26">
        <v>7000</v>
      </c>
      <c r="D6" s="26">
        <v>15000</v>
      </c>
      <c r="E6" s="2">
        <f>$B$9-B6</f>
        <v>2.4000000000000004</v>
      </c>
      <c r="F6" s="4">
        <f t="shared" si="0"/>
        <v>0.23076923076923078</v>
      </c>
      <c r="G6" s="8">
        <f t="shared" si="1"/>
        <v>2200</v>
      </c>
      <c r="H6" s="4">
        <f t="shared" si="2"/>
        <v>0.171875</v>
      </c>
      <c r="I6" s="5">
        <f>B$15*(1+F6+H6)</f>
        <v>70132.211538461546</v>
      </c>
      <c r="J6" s="3">
        <f>I6/B6</f>
        <v>8766.5264423076933</v>
      </c>
      <c r="K6" s="3">
        <f t="shared" si="3"/>
        <v>1766.5264423076933</v>
      </c>
    </row>
    <row r="7" spans="1:11" x14ac:dyDescent="0.3">
      <c r="A7" s="2">
        <v>4</v>
      </c>
      <c r="B7" s="25">
        <v>12</v>
      </c>
      <c r="C7" s="26">
        <v>4000</v>
      </c>
      <c r="D7" s="26">
        <v>18000</v>
      </c>
      <c r="E7" s="2">
        <f>$B$9-B7</f>
        <v>-1.5999999999999996</v>
      </c>
      <c r="F7" s="4">
        <f t="shared" si="0"/>
        <v>-0.1538461538461538</v>
      </c>
      <c r="G7" s="8">
        <f t="shared" si="1"/>
        <v>5200</v>
      </c>
      <c r="H7" s="4">
        <f t="shared" si="2"/>
        <v>0.40625</v>
      </c>
      <c r="I7" s="5">
        <f>B$15*(1+F7+H7)</f>
        <v>62620.192307692312</v>
      </c>
      <c r="J7" s="3">
        <f>I7/B7</f>
        <v>5218.3493589743593</v>
      </c>
      <c r="K7" s="3">
        <f t="shared" si="3"/>
        <v>1218.3493589743593</v>
      </c>
    </row>
    <row r="8" spans="1:11" x14ac:dyDescent="0.3">
      <c r="A8" s="2">
        <v>5</v>
      </c>
      <c r="B8" s="25">
        <v>15</v>
      </c>
      <c r="C8" s="26">
        <v>2000</v>
      </c>
      <c r="D8" s="26">
        <v>10000</v>
      </c>
      <c r="E8" s="2">
        <f>$B$9-B8</f>
        <v>-4.5999999999999996</v>
      </c>
      <c r="F8" s="4">
        <f t="shared" si="0"/>
        <v>-0.44230769230769224</v>
      </c>
      <c r="G8" s="8">
        <f t="shared" si="1"/>
        <v>-2800</v>
      </c>
      <c r="H8" s="4">
        <f t="shared" si="2"/>
        <v>-0.21875</v>
      </c>
      <c r="I8" s="5">
        <f>B$15*(1+F8+H8)</f>
        <v>16947.115384615387</v>
      </c>
      <c r="J8" s="3">
        <f>I8/B8</f>
        <v>1129.8076923076924</v>
      </c>
      <c r="K8" s="3">
        <f t="shared" si="3"/>
        <v>-870.19230769230762</v>
      </c>
    </row>
    <row r="9" spans="1:11" x14ac:dyDescent="0.3">
      <c r="A9" s="2" t="s">
        <v>13</v>
      </c>
      <c r="B9" s="9">
        <f>AVERAGE(B4:B8)</f>
        <v>10.4</v>
      </c>
      <c r="C9" s="2"/>
      <c r="D9" s="3">
        <f>AVERAGE(D4:D8)</f>
        <v>12800</v>
      </c>
      <c r="E9" s="2"/>
      <c r="F9" s="6">
        <f>SUM(F4:F8)</f>
        <v>0</v>
      </c>
      <c r="G9" s="6"/>
      <c r="H9" s="6">
        <f>SUM(H4:H8)</f>
        <v>0</v>
      </c>
      <c r="I9" s="5">
        <f>SUM(I4:I8)</f>
        <v>250000</v>
      </c>
      <c r="J9" s="2"/>
      <c r="K9" s="2"/>
    </row>
    <row r="11" spans="1:11" x14ac:dyDescent="0.3">
      <c r="B11" t="s">
        <v>0</v>
      </c>
      <c r="E11" s="28"/>
      <c r="F11" s="27" t="s">
        <v>41</v>
      </c>
    </row>
    <row r="12" spans="1:11" x14ac:dyDescent="0.3">
      <c r="B12" s="24">
        <v>250000</v>
      </c>
    </row>
    <row r="14" spans="1:11" x14ac:dyDescent="0.3">
      <c r="B14" t="s">
        <v>1</v>
      </c>
    </row>
    <row r="15" spans="1:11" x14ac:dyDescent="0.3">
      <c r="B15" s="24">
        <f>B12/A8</f>
        <v>50000</v>
      </c>
    </row>
  </sheetData>
  <mergeCells count="3">
    <mergeCell ref="A1:K1"/>
    <mergeCell ref="E2:K2"/>
    <mergeCell ref="B2:D2"/>
  </mergeCells>
  <pageMargins left="0.511811024" right="0.511811024" top="0.78740157499999996" bottom="0.78740157499999996" header="0.31496062000000002" footer="0.31496062000000002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5"/>
  <sheetViews>
    <sheetView zoomScale="150" zoomScaleNormal="150" workbookViewId="0">
      <selection activeCell="L4" sqref="L4"/>
    </sheetView>
  </sheetViews>
  <sheetFormatPr defaultRowHeight="14.4" x14ac:dyDescent="0.3"/>
  <cols>
    <col min="1" max="1" width="9.77734375" customWidth="1"/>
    <col min="2" max="2" width="11.77734375" bestFit="1" customWidth="1"/>
    <col min="3" max="3" width="9.77734375" customWidth="1"/>
    <col min="4" max="4" width="11.44140625" customWidth="1"/>
    <col min="5" max="5" width="6.77734375" customWidth="1"/>
    <col min="6" max="6" width="6.44140625" customWidth="1"/>
    <col min="7" max="7" width="6.77734375" customWidth="1"/>
    <col min="8" max="8" width="7.77734375" customWidth="1"/>
    <col min="9" max="9" width="6.77734375" customWidth="1"/>
    <col min="10" max="11" width="6.21875" customWidth="1"/>
    <col min="12" max="12" width="14.44140625" bestFit="1" customWidth="1"/>
    <col min="13" max="14" width="9.77734375" customWidth="1"/>
    <col min="15" max="15" width="13.5546875" customWidth="1"/>
  </cols>
  <sheetData>
    <row r="1" spans="1:14" ht="18.600000000000001" thickBot="1" x14ac:dyDescent="0.4">
      <c r="A1" s="37" t="s">
        <v>38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9"/>
    </row>
    <row r="2" spans="1:14" ht="18" x14ac:dyDescent="0.35">
      <c r="B2" s="41" t="s">
        <v>8</v>
      </c>
      <c r="C2" s="42"/>
      <c r="D2" s="42"/>
      <c r="E2" s="43"/>
      <c r="F2" s="40" t="s">
        <v>9</v>
      </c>
      <c r="G2" s="40"/>
      <c r="H2" s="40"/>
      <c r="I2" s="40"/>
      <c r="J2" s="40"/>
      <c r="K2" s="40"/>
      <c r="L2" s="40"/>
      <c r="M2" s="40"/>
      <c r="N2" s="40"/>
    </row>
    <row r="3" spans="1:14" s="1" customFormat="1" ht="48" customHeight="1" x14ac:dyDescent="0.3">
      <c r="A3" s="7" t="s">
        <v>2</v>
      </c>
      <c r="B3" s="7" t="s">
        <v>3</v>
      </c>
      <c r="C3" s="7" t="s">
        <v>43</v>
      </c>
      <c r="D3" s="7" t="s">
        <v>10</v>
      </c>
      <c r="E3" s="7" t="s">
        <v>15</v>
      </c>
      <c r="F3" s="7" t="s">
        <v>11</v>
      </c>
      <c r="G3" s="7" t="s">
        <v>40</v>
      </c>
      <c r="H3" s="7" t="s">
        <v>14</v>
      </c>
      <c r="I3" s="7" t="s">
        <v>12</v>
      </c>
      <c r="J3" s="7" t="s">
        <v>16</v>
      </c>
      <c r="K3" s="7" t="s">
        <v>17</v>
      </c>
      <c r="L3" s="7" t="s">
        <v>5</v>
      </c>
      <c r="M3" s="7" t="s">
        <v>39</v>
      </c>
      <c r="N3" s="7" t="s">
        <v>31</v>
      </c>
    </row>
    <row r="4" spans="1:14" x14ac:dyDescent="0.3">
      <c r="A4" s="2">
        <v>1</v>
      </c>
      <c r="B4" s="25">
        <v>10</v>
      </c>
      <c r="C4" s="26">
        <v>5000</v>
      </c>
      <c r="D4" s="26">
        <v>9000</v>
      </c>
      <c r="E4" s="26">
        <v>8</v>
      </c>
      <c r="F4" s="2">
        <f>$B$9-B4</f>
        <v>0.40000000000000036</v>
      </c>
      <c r="G4" s="4">
        <f>F4/$B$9</f>
        <v>3.8461538461538491E-2</v>
      </c>
      <c r="H4" s="8">
        <f>D4-D$9</f>
        <v>-3800</v>
      </c>
      <c r="I4" s="4">
        <f>H4/D$9</f>
        <v>-0.296875</v>
      </c>
      <c r="J4" s="8">
        <f>E4-E$9</f>
        <v>-1.4000000000000004</v>
      </c>
      <c r="K4" s="4">
        <f>J4/E$9</f>
        <v>-0.14893617021276598</v>
      </c>
      <c r="L4" s="9">
        <f>B$15*(1+G4+I4+K4)</f>
        <v>29632.518412438629</v>
      </c>
      <c r="M4" s="3">
        <f>L4/B4</f>
        <v>2963.2518412438631</v>
      </c>
      <c r="N4" s="3">
        <f>C4-M4</f>
        <v>2036.7481587561369</v>
      </c>
    </row>
    <row r="5" spans="1:14" x14ac:dyDescent="0.3">
      <c r="A5" s="2">
        <v>2</v>
      </c>
      <c r="B5" s="25">
        <v>7</v>
      </c>
      <c r="C5" s="26">
        <v>9000</v>
      </c>
      <c r="D5" s="26">
        <v>12000</v>
      </c>
      <c r="E5" s="26">
        <v>10</v>
      </c>
      <c r="F5" s="2">
        <f>$B$9-B5</f>
        <v>3.4000000000000004</v>
      </c>
      <c r="G5" s="4">
        <f t="shared" ref="G5:G8" si="0">F5/$B$9</f>
        <v>0.32692307692307693</v>
      </c>
      <c r="H5" s="8">
        <f t="shared" ref="H5:H8" si="1">D5-D$9</f>
        <v>-800</v>
      </c>
      <c r="I5" s="4">
        <f t="shared" ref="I5:I8" si="2">H5/D$9</f>
        <v>-6.25E-2</v>
      </c>
      <c r="J5" s="8">
        <f t="shared" ref="J5:J8" si="3">E5-E$9</f>
        <v>0.59999999999999964</v>
      </c>
      <c r="K5" s="4">
        <f t="shared" ref="K5:K8" si="4">J5/E$9</f>
        <v>6.3829787234042507E-2</v>
      </c>
      <c r="L5" s="9">
        <f>B$15*(1+G5+I5+K5)</f>
        <v>66412.643207855974</v>
      </c>
      <c r="M5" s="3">
        <f>L5/B5</f>
        <v>9487.5204582651386</v>
      </c>
      <c r="N5" s="3">
        <f t="shared" ref="N5:N8" si="5">C5-M5</f>
        <v>-487.52045826513859</v>
      </c>
    </row>
    <row r="6" spans="1:14" x14ac:dyDescent="0.3">
      <c r="A6" s="2">
        <v>3</v>
      </c>
      <c r="B6" s="25">
        <v>8</v>
      </c>
      <c r="C6" s="26">
        <v>7000</v>
      </c>
      <c r="D6" s="26">
        <v>15000</v>
      </c>
      <c r="E6" s="26">
        <v>12</v>
      </c>
      <c r="F6" s="2">
        <f>$B$9-B6</f>
        <v>2.4000000000000004</v>
      </c>
      <c r="G6" s="4">
        <f t="shared" si="0"/>
        <v>0.23076923076923078</v>
      </c>
      <c r="H6" s="8">
        <f t="shared" si="1"/>
        <v>2200</v>
      </c>
      <c r="I6" s="4">
        <f t="shared" si="2"/>
        <v>0.171875</v>
      </c>
      <c r="J6" s="8">
        <f t="shared" si="3"/>
        <v>2.5999999999999996</v>
      </c>
      <c r="K6" s="4">
        <f t="shared" si="4"/>
        <v>0.27659574468085102</v>
      </c>
      <c r="L6" s="9">
        <f>B$15*(1+G6+I6+K6)</f>
        <v>83961.998772504099</v>
      </c>
      <c r="M6" s="3">
        <f>L6/B6</f>
        <v>10495.249846563012</v>
      </c>
      <c r="N6" s="3">
        <f t="shared" si="5"/>
        <v>-3495.2498465630124</v>
      </c>
    </row>
    <row r="7" spans="1:14" x14ac:dyDescent="0.3">
      <c r="A7" s="2">
        <v>4</v>
      </c>
      <c r="B7" s="25">
        <v>12</v>
      </c>
      <c r="C7" s="26">
        <v>4000</v>
      </c>
      <c r="D7" s="26">
        <v>18000</v>
      </c>
      <c r="E7" s="26">
        <v>7</v>
      </c>
      <c r="F7" s="2">
        <f>$B$9-B7</f>
        <v>-1.5999999999999996</v>
      </c>
      <c r="G7" s="4">
        <f t="shared" si="0"/>
        <v>-0.1538461538461538</v>
      </c>
      <c r="H7" s="8">
        <f t="shared" si="1"/>
        <v>5200</v>
      </c>
      <c r="I7" s="4">
        <f t="shared" si="2"/>
        <v>0.40625</v>
      </c>
      <c r="J7" s="8">
        <f t="shared" si="3"/>
        <v>-2.4000000000000004</v>
      </c>
      <c r="K7" s="4">
        <f t="shared" si="4"/>
        <v>-0.25531914893617025</v>
      </c>
      <c r="L7" s="9">
        <f>B$15*(1+G7+I7+K7)</f>
        <v>49854.2348608838</v>
      </c>
      <c r="M7" s="3">
        <f>L7/B7</f>
        <v>4154.5195717403167</v>
      </c>
      <c r="N7" s="3">
        <f t="shared" si="5"/>
        <v>-154.51957174031668</v>
      </c>
    </row>
    <row r="8" spans="1:14" x14ac:dyDescent="0.3">
      <c r="A8" s="2">
        <v>5</v>
      </c>
      <c r="B8" s="25">
        <v>15</v>
      </c>
      <c r="C8" s="26">
        <v>2000</v>
      </c>
      <c r="D8" s="26">
        <v>10000</v>
      </c>
      <c r="E8" s="26">
        <v>10</v>
      </c>
      <c r="F8" s="2">
        <f>$B$9-B8</f>
        <v>-4.5999999999999996</v>
      </c>
      <c r="G8" s="4">
        <f t="shared" si="0"/>
        <v>-0.44230769230769224</v>
      </c>
      <c r="H8" s="8">
        <f t="shared" si="1"/>
        <v>-2800</v>
      </c>
      <c r="I8" s="4">
        <f t="shared" si="2"/>
        <v>-0.21875</v>
      </c>
      <c r="J8" s="8">
        <f t="shared" si="3"/>
        <v>0.59999999999999964</v>
      </c>
      <c r="K8" s="4">
        <f t="shared" si="4"/>
        <v>6.3829787234042507E-2</v>
      </c>
      <c r="L8" s="9">
        <f>B$15*(1+G8+I8+K8)</f>
        <v>20138.604746317513</v>
      </c>
      <c r="M8" s="3">
        <f>L8/B8</f>
        <v>1342.5736497545008</v>
      </c>
      <c r="N8" s="3">
        <f t="shared" si="5"/>
        <v>657.42635024549918</v>
      </c>
    </row>
    <row r="9" spans="1:14" x14ac:dyDescent="0.3">
      <c r="A9" s="2" t="s">
        <v>13</v>
      </c>
      <c r="B9" s="9">
        <f>AVERAGE(B4:B8)</f>
        <v>10.4</v>
      </c>
      <c r="C9" s="2"/>
      <c r="D9" s="3">
        <f>AVERAGE(D4:D8)</f>
        <v>12800</v>
      </c>
      <c r="E9" s="3">
        <f>AVERAGE(E4:E8)</f>
        <v>9.4</v>
      </c>
      <c r="F9" s="2"/>
      <c r="G9" s="6">
        <f>SUM(G4:G8)</f>
        <v>0</v>
      </c>
      <c r="H9" s="6"/>
      <c r="I9" s="6">
        <f>SUM(I4:I8)</f>
        <v>0</v>
      </c>
      <c r="J9" s="6"/>
      <c r="K9" s="6">
        <f>SUM(K4:K8)</f>
        <v>-1.9428902930940239E-16</v>
      </c>
      <c r="L9" s="9">
        <f>SUM(L4:L8)</f>
        <v>250000.00000000003</v>
      </c>
      <c r="M9" s="2"/>
      <c r="N9" s="2"/>
    </row>
    <row r="10" spans="1:14" ht="6.75" customHeight="1" x14ac:dyDescent="0.3"/>
    <row r="11" spans="1:14" x14ac:dyDescent="0.3">
      <c r="B11" t="s">
        <v>0</v>
      </c>
      <c r="E11" s="28"/>
      <c r="F11" s="27" t="s">
        <v>41</v>
      </c>
    </row>
    <row r="12" spans="1:14" x14ac:dyDescent="0.3">
      <c r="B12" s="24">
        <v>250000</v>
      </c>
    </row>
    <row r="13" spans="1:14" ht="6.75" customHeight="1" x14ac:dyDescent="0.3"/>
    <row r="14" spans="1:14" x14ac:dyDescent="0.3">
      <c r="B14" t="s">
        <v>1</v>
      </c>
    </row>
    <row r="15" spans="1:14" x14ac:dyDescent="0.3">
      <c r="B15" s="24">
        <f>B12/A8</f>
        <v>50000</v>
      </c>
    </row>
  </sheetData>
  <mergeCells count="3">
    <mergeCell ref="A1:N1"/>
    <mergeCell ref="F2:N2"/>
    <mergeCell ref="B2:E2"/>
  </mergeCells>
  <pageMargins left="0.511811024" right="0.511811024" top="0.78740157499999996" bottom="0.78740157499999996" header="0.31496062000000002" footer="0.31496062000000002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9"/>
  <sheetViews>
    <sheetView zoomScale="130" zoomScaleNormal="130" workbookViewId="0">
      <selection sqref="A1:G1"/>
    </sheetView>
  </sheetViews>
  <sheetFormatPr defaultRowHeight="14.4" x14ac:dyDescent="0.3"/>
  <cols>
    <col min="1" max="1" width="27.5546875" bestFit="1" customWidth="1"/>
    <col min="2" max="2" width="14.21875" customWidth="1"/>
    <col min="3" max="7" width="13.77734375" customWidth="1"/>
    <col min="8" max="8" width="3.5546875" customWidth="1"/>
    <col min="9" max="9" width="12.77734375" customWidth="1"/>
  </cols>
  <sheetData>
    <row r="1" spans="1:11" ht="18.600000000000001" thickBot="1" x14ac:dyDescent="0.4">
      <c r="A1" s="37" t="s">
        <v>18</v>
      </c>
      <c r="B1" s="38"/>
      <c r="C1" s="38"/>
      <c r="D1" s="38"/>
      <c r="E1" s="38"/>
      <c r="F1" s="38"/>
      <c r="G1" s="39"/>
    </row>
    <row r="2" spans="1:11" x14ac:dyDescent="0.3">
      <c r="A2" s="16" t="s">
        <v>2</v>
      </c>
      <c r="B2" s="16" t="s">
        <v>25</v>
      </c>
      <c r="C2" s="17" t="s">
        <v>19</v>
      </c>
      <c r="D2" s="17" t="s">
        <v>20</v>
      </c>
      <c r="E2" s="17" t="s">
        <v>21</v>
      </c>
      <c r="F2" s="17" t="s">
        <v>22</v>
      </c>
      <c r="G2" s="17" t="s">
        <v>23</v>
      </c>
      <c r="I2" s="28"/>
    </row>
    <row r="3" spans="1:11" x14ac:dyDescent="0.3">
      <c r="A3" s="13" t="s">
        <v>42</v>
      </c>
      <c r="B3" s="2"/>
      <c r="C3" s="5">
        <f>'Preço x Propaganda x Vendedor'!L4</f>
        <v>29632.518412438629</v>
      </c>
      <c r="D3" s="5">
        <f>'Preço x Propaganda x Vendedor'!L5</f>
        <v>66412.643207855974</v>
      </c>
      <c r="E3" s="5">
        <f>'Preço x Propaganda x Vendedor'!L6</f>
        <v>83961.998772504099</v>
      </c>
      <c r="F3" s="5">
        <f>'Preço x Propaganda x Vendedor'!L7</f>
        <v>49854.2348608838</v>
      </c>
      <c r="G3" s="5">
        <f>'Preço x Propaganda x Vendedor'!L8</f>
        <v>20138.604746317513</v>
      </c>
      <c r="I3" s="32" t="s">
        <v>48</v>
      </c>
    </row>
    <row r="4" spans="1:11" ht="15" customHeight="1" x14ac:dyDescent="0.3">
      <c r="A4" s="13"/>
      <c r="B4" s="2"/>
      <c r="C4" s="5"/>
      <c r="D4" s="5"/>
      <c r="E4" s="5"/>
      <c r="F4" s="5"/>
      <c r="G4" s="5"/>
      <c r="I4" s="32" t="s">
        <v>49</v>
      </c>
      <c r="K4" s="1"/>
    </row>
    <row r="5" spans="1:11" x14ac:dyDescent="0.3">
      <c r="A5" s="13" t="s">
        <v>24</v>
      </c>
      <c r="B5" s="2"/>
      <c r="C5" s="5"/>
      <c r="D5" s="5"/>
      <c r="E5" s="5"/>
      <c r="F5" s="5"/>
      <c r="G5" s="5"/>
    </row>
    <row r="6" spans="1:11" x14ac:dyDescent="0.3">
      <c r="A6" s="13" t="s">
        <v>10</v>
      </c>
      <c r="B6" s="2"/>
      <c r="C6" s="29">
        <f>'Preço x Propaganda x Vendedor'!D4</f>
        <v>9000</v>
      </c>
      <c r="D6" s="29">
        <f>'Preço x Propaganda x Vendedor'!D5</f>
        <v>12000</v>
      </c>
      <c r="E6" s="29">
        <f>'Preço x Propaganda x Vendedor'!D6</f>
        <v>15000</v>
      </c>
      <c r="F6" s="29">
        <f>'Preço x Propaganda x Vendedor'!D7</f>
        <v>18000</v>
      </c>
      <c r="G6" s="29">
        <f>'Preço x Propaganda x Vendedor'!D8</f>
        <v>10000</v>
      </c>
      <c r="I6" s="33"/>
    </row>
    <row r="7" spans="1:11" x14ac:dyDescent="0.3">
      <c r="A7" s="13" t="s">
        <v>15</v>
      </c>
      <c r="B7" s="2"/>
      <c r="C7" s="30">
        <f>'Preço x Propaganda x Vendedor'!E4</f>
        <v>8</v>
      </c>
      <c r="D7" s="30">
        <f>'Preço x Propaganda x Vendedor'!E5</f>
        <v>10</v>
      </c>
      <c r="E7" s="30">
        <f>'Preço x Propaganda x Vendedor'!E6</f>
        <v>12</v>
      </c>
      <c r="F7" s="30">
        <f>'Preço x Propaganda x Vendedor'!E7</f>
        <v>7</v>
      </c>
      <c r="G7" s="30">
        <f>'Preço x Propaganda x Vendedor'!E8</f>
        <v>10</v>
      </c>
      <c r="I7" s="31" t="s">
        <v>44</v>
      </c>
    </row>
    <row r="8" spans="1:11" x14ac:dyDescent="0.3">
      <c r="A8" s="13" t="s">
        <v>26</v>
      </c>
      <c r="B8" s="34">
        <v>1500</v>
      </c>
      <c r="C8" s="5">
        <f>$B8*C7</f>
        <v>12000</v>
      </c>
      <c r="D8" s="5">
        <f t="shared" ref="D8:G8" si="0">$B8*D7</f>
        <v>15000</v>
      </c>
      <c r="E8" s="5">
        <f t="shared" si="0"/>
        <v>18000</v>
      </c>
      <c r="F8" s="5">
        <f t="shared" si="0"/>
        <v>10500</v>
      </c>
      <c r="G8" s="5">
        <f t="shared" si="0"/>
        <v>15000</v>
      </c>
      <c r="I8" s="31" t="s">
        <v>45</v>
      </c>
    </row>
    <row r="9" spans="1:11" x14ac:dyDescent="0.3">
      <c r="A9" s="13" t="s">
        <v>29</v>
      </c>
      <c r="B9" s="34">
        <v>10</v>
      </c>
      <c r="C9" s="5">
        <f>IF('Preço x Propaganda x Vendedor'!$N4&lt;0,-'Preço x Propaganda x Vendedor'!$N4*'Dem Resultados'!$B9,0)</f>
        <v>0</v>
      </c>
      <c r="D9" s="5">
        <f>IF('Preço x Propaganda x Vendedor'!$N5&lt;0,-'Preço x Propaganda x Vendedor'!$N5*'Dem Resultados'!$B9,0)</f>
        <v>4875.2045826513859</v>
      </c>
      <c r="E9" s="5">
        <f>IF('Preço x Propaganda x Vendedor'!$N6&lt;0,-'Preço x Propaganda x Vendedor'!$N6*'Dem Resultados'!$B9,0)</f>
        <v>34952.498465630124</v>
      </c>
      <c r="F9" s="5">
        <f>IF('Preço x Propaganda x Vendedor'!$N7&lt;0,-'Preço x Propaganda x Vendedor'!$N7*'Dem Resultados'!$B9,0)</f>
        <v>1545.1957174031668</v>
      </c>
      <c r="G9" s="5">
        <f>IF('Preço x Propaganda x Vendedor'!$N8&lt;0,-'Preço x Propaganda x Vendedor'!$N8*'Dem Resultados'!$B9,0)</f>
        <v>0</v>
      </c>
      <c r="I9" s="31" t="s">
        <v>46</v>
      </c>
    </row>
    <row r="10" spans="1:11" x14ac:dyDescent="0.3">
      <c r="A10" s="13" t="s">
        <v>30</v>
      </c>
      <c r="B10" s="34">
        <v>4</v>
      </c>
      <c r="C10" s="5">
        <f>IF('Preço x Propaganda x Vendedor'!$N4&gt;0,'Preço x Propaganda x Vendedor'!$N4*'Dem Resultados'!$B10,0)</f>
        <v>8146.9926350245478</v>
      </c>
      <c r="D10" s="5">
        <f>IF('Preço x Propaganda x Vendedor'!$N5&gt;0,'Preço x Propaganda x Vendedor'!$N5*'Dem Resultados'!$B10,0)</f>
        <v>0</v>
      </c>
      <c r="E10" s="5">
        <f>IF('Preço x Propaganda x Vendedor'!$N6&gt;0,'Preço x Propaganda x Vendedor'!$N6*'Dem Resultados'!$B10,0)</f>
        <v>0</v>
      </c>
      <c r="F10" s="5">
        <f>IF('Preço x Propaganda x Vendedor'!$N7&gt;0,'Preço x Propaganda x Vendedor'!$N7*'Dem Resultados'!$B10,0)</f>
        <v>0</v>
      </c>
      <c r="G10" s="5">
        <f>IF('Preço x Propaganda x Vendedor'!$N8&gt;0,'Preço x Propaganda x Vendedor'!$N8*'Dem Resultados'!$B10,0)</f>
        <v>2629.7054009819967</v>
      </c>
      <c r="I10" s="31" t="s">
        <v>47</v>
      </c>
    </row>
    <row r="11" spans="1:11" x14ac:dyDescent="0.3">
      <c r="A11" s="13"/>
      <c r="B11" s="35"/>
      <c r="C11" s="5"/>
      <c r="D11" s="5"/>
      <c r="E11" s="5"/>
      <c r="F11" s="5"/>
      <c r="G11" s="5"/>
    </row>
    <row r="12" spans="1:11" x14ac:dyDescent="0.3">
      <c r="A12" s="13" t="s">
        <v>35</v>
      </c>
      <c r="B12" s="36">
        <v>0.2</v>
      </c>
      <c r="C12" s="5">
        <f>C3*$B12</f>
        <v>5926.5036824877261</v>
      </c>
      <c r="D12" s="5">
        <f>D3*$B12</f>
        <v>13282.528641571196</v>
      </c>
      <c r="E12" s="5">
        <f>E3*$B12</f>
        <v>16792.399754500821</v>
      </c>
      <c r="F12" s="5">
        <f>F3*$B12</f>
        <v>9970.8469721767615</v>
      </c>
      <c r="G12" s="5">
        <f>G3*$B12</f>
        <v>4027.7209492635029</v>
      </c>
    </row>
    <row r="13" spans="1:11" x14ac:dyDescent="0.3">
      <c r="A13" s="13" t="s">
        <v>32</v>
      </c>
      <c r="B13" s="36">
        <v>0.08</v>
      </c>
      <c r="C13" s="5">
        <f>C3*$B13</f>
        <v>2370.6014729950903</v>
      </c>
      <c r="D13" s="5">
        <f t="shared" ref="D13:G13" si="1">D3*$B13</f>
        <v>5313.0114566284783</v>
      </c>
      <c r="E13" s="5">
        <f t="shared" si="1"/>
        <v>6716.9599018003282</v>
      </c>
      <c r="F13" s="5">
        <f t="shared" si="1"/>
        <v>3988.3387888707043</v>
      </c>
      <c r="G13" s="5">
        <f t="shared" si="1"/>
        <v>1611.0883797054012</v>
      </c>
    </row>
    <row r="14" spans="1:11" x14ac:dyDescent="0.3">
      <c r="A14" s="13" t="s">
        <v>33</v>
      </c>
      <c r="B14" s="34">
        <v>2000</v>
      </c>
      <c r="C14" s="5">
        <f>B14</f>
        <v>2000</v>
      </c>
      <c r="D14" s="5">
        <f t="shared" ref="D14:G14" si="2">C14</f>
        <v>2000</v>
      </c>
      <c r="E14" s="5">
        <f t="shared" si="2"/>
        <v>2000</v>
      </c>
      <c r="F14" s="5">
        <f t="shared" si="2"/>
        <v>2000</v>
      </c>
      <c r="G14" s="5">
        <f t="shared" si="2"/>
        <v>2000</v>
      </c>
    </row>
    <row r="15" spans="1:11" x14ac:dyDescent="0.3">
      <c r="A15" s="13"/>
      <c r="B15" s="9"/>
      <c r="C15" s="5"/>
      <c r="D15" s="5"/>
      <c r="E15" s="5"/>
      <c r="F15" s="5"/>
      <c r="G15" s="5"/>
    </row>
    <row r="16" spans="1:11" x14ac:dyDescent="0.3">
      <c r="A16" s="13" t="s">
        <v>27</v>
      </c>
      <c r="B16" s="2"/>
      <c r="C16" s="5">
        <f>SUM(C6,C8:C14)</f>
        <v>39444.097790507367</v>
      </c>
      <c r="D16" s="5">
        <f t="shared" ref="D16:G16" si="3">SUM(D6,D8:D14)</f>
        <v>52470.744680851058</v>
      </c>
      <c r="E16" s="5">
        <f t="shared" si="3"/>
        <v>93461.858121931262</v>
      </c>
      <c r="F16" s="5">
        <f t="shared" si="3"/>
        <v>46004.381478450639</v>
      </c>
      <c r="G16" s="5">
        <f t="shared" si="3"/>
        <v>35268.514729950897</v>
      </c>
    </row>
    <row r="17" spans="1:7" ht="15" thickBot="1" x14ac:dyDescent="0.35">
      <c r="A17" s="14"/>
      <c r="B17" s="10"/>
      <c r="C17" s="18"/>
      <c r="D17" s="18"/>
      <c r="E17" s="18"/>
      <c r="F17" s="18"/>
      <c r="G17" s="18"/>
    </row>
    <row r="18" spans="1:7" ht="15" thickBot="1" x14ac:dyDescent="0.35">
      <c r="A18" s="19" t="s">
        <v>28</v>
      </c>
      <c r="B18" s="20"/>
      <c r="C18" s="21">
        <f>C3-C16</f>
        <v>-9811.5793780687382</v>
      </c>
      <c r="D18" s="21">
        <f>D3-D16</f>
        <v>13941.898527004916</v>
      </c>
      <c r="E18" s="21">
        <f>E3-E16</f>
        <v>-9499.8593494271627</v>
      </c>
      <c r="F18" s="21">
        <f>F3-F16</f>
        <v>3849.8533824331607</v>
      </c>
      <c r="G18" s="22">
        <f>G3-G16</f>
        <v>-15129.909983633384</v>
      </c>
    </row>
    <row r="19" spans="1:7" ht="15" thickBot="1" x14ac:dyDescent="0.35">
      <c r="A19" s="15" t="s">
        <v>34</v>
      </c>
      <c r="B19" s="11"/>
      <c r="C19" s="11">
        <f>_xlfn.RANK.AVG($C18:$G18,$C18:$G18)</f>
        <v>4</v>
      </c>
      <c r="D19" s="11">
        <f t="shared" ref="D19:G19" si="4">_xlfn.RANK.AVG($C18:$G18,$C18:$G18)</f>
        <v>1</v>
      </c>
      <c r="E19" s="11">
        <f t="shared" si="4"/>
        <v>3</v>
      </c>
      <c r="F19" s="11">
        <f t="shared" si="4"/>
        <v>2</v>
      </c>
      <c r="G19" s="12">
        <f t="shared" si="4"/>
        <v>5</v>
      </c>
    </row>
  </sheetData>
  <mergeCells count="1">
    <mergeCell ref="A1:G1"/>
  </mergeCells>
  <pageMargins left="0.511811024" right="0.511811024" top="0.78740157499999996" bottom="0.78740157499999996" header="0.31496062000000002" footer="0.31496062000000002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2A345413B686840936278720304CF9E" ma:contentTypeVersion="3" ma:contentTypeDescription="Crie um novo documento." ma:contentTypeScope="" ma:versionID="d424af420bfca67f23ce85e3a88a508e">
  <xsd:schema xmlns:xsd="http://www.w3.org/2001/XMLSchema" xmlns:xs="http://www.w3.org/2001/XMLSchema" xmlns:p="http://schemas.microsoft.com/office/2006/metadata/properties" xmlns:ns2="55672622-fda6-4ae0-b1d7-2c6417806409" targetNamespace="http://schemas.microsoft.com/office/2006/metadata/properties" ma:root="true" ma:fieldsID="cb4d40641672e7166d9269e84cb1074a" ns2:_="">
    <xsd:import namespace="55672622-fda6-4ae0-b1d7-2c64178064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5672622-fda6-4ae0-b1d7-2c641780640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E63D441-FA27-403E-B09C-09A065EB3852}"/>
</file>

<file path=customXml/itemProps2.xml><?xml version="1.0" encoding="utf-8"?>
<ds:datastoreItem xmlns:ds="http://schemas.openxmlformats.org/officeDocument/2006/customXml" ds:itemID="{DCCC42D6-4ABE-4790-B9AE-21FCA1BB41EF}"/>
</file>

<file path=customXml/itemProps3.xml><?xml version="1.0" encoding="utf-8"?>
<ds:datastoreItem xmlns:ds="http://schemas.openxmlformats.org/officeDocument/2006/customXml" ds:itemID="{500A3C96-B6AF-4C8A-B90D-9722032615C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Só preço</vt:lpstr>
      <vt:lpstr>Preço x Propaganda</vt:lpstr>
      <vt:lpstr>Preço x Propaganda x Vendedor</vt:lpstr>
      <vt:lpstr>Dem Resultados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Prof. Wagner Tufano</dc:creator>
  <cp:lastModifiedBy>Wagner Tufano</cp:lastModifiedBy>
  <dcterms:created xsi:type="dcterms:W3CDTF">2021-07-27T22:33:27Z</dcterms:created>
  <dcterms:modified xsi:type="dcterms:W3CDTF">2025-10-21T11:27:44Z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0x01010002A345413B686840936278720304CF9E</vt:lpwstr>
  </property>
</Properties>
</file>